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<sst xmlns="http://schemas.openxmlformats.org/spreadsheetml/2006/main" count="103" uniqueCount="69">
  <si>
    <t xml:space="preserve"># Boards: </t>
  </si>
  <si>
    <t xml:space="preserve">   &lt;---- EDIT NUMBER OF BOARDS HERE</t>
  </si>
  <si>
    <t>Project:</t>
  </si>
  <si>
    <t>transducer-pcb</t>
  </si>
  <si>
    <t>BR Number:</t>
  </si>
  <si>
    <t>BR-103935-002 RevA</t>
  </si>
  <si>
    <t>Date:</t>
  </si>
  <si>
    <t>2026-02-18T17:36:04-0800</t>
  </si>
  <si>
    <t>Legend</t>
  </si>
  <si>
    <t>In stock @ JLC</t>
  </si>
  <si>
    <t>Low Stock @ JLC</t>
  </si>
  <si>
    <t>Not Enough Stock @ JLC</t>
  </si>
  <si>
    <t>Does not exist @ JLC</t>
  </si>
  <si>
    <t>BRE Number</t>
  </si>
  <si>
    <t>Reference</t>
  </si>
  <si>
    <t>Description</t>
  </si>
  <si>
    <t>Quantity/Board</t>
  </si>
  <si>
    <t>Total Quantity</t>
  </si>
  <si>
    <t>MPN</t>
  </si>
  <si>
    <t>JLCPCB Part #</t>
  </si>
  <si>
    <t>JLC Stock</t>
  </si>
  <si>
    <t>Global + Consigned Stock</t>
  </si>
  <si>
    <t>Alt JLC Parts</t>
  </si>
  <si>
    <t>DigiKey Parts</t>
  </si>
  <si>
    <t>Mouser Parts</t>
  </si>
  <si>
    <t>Other Vendor Parts</t>
  </si>
  <si>
    <t>Unit Cost</t>
  </si>
  <si>
    <t>Cost Per Board</t>
  </si>
  <si>
    <t>DNP Components</t>
  </si>
  <si>
    <t xml:space="preserve"> </t>
  </si>
  <si>
    <t>BRE-000048</t>
  </si>
  <si>
    <t>C1</t>
  </si>
  <si>
    <t>1nF 1kV X7R 10% Ceramic Capacitor 0805</t>
  </si>
  <si>
    <t>placeholder</t>
  </si>
  <si>
    <t>0805B102K102CT</t>
  </si>
  <si>
    <t>C303890</t>
  </si>
  <si>
    <t>1292-0805B102K102CT-ND</t>
  </si>
  <si>
    <t>791-0805B102K102CT</t>
  </si>
  <si>
    <t>BRE-001269</t>
  </si>
  <si>
    <t>J1</t>
  </si>
  <si>
    <t>1x4P 7A 150V 2.54mm Screw Terminal Through Hole</t>
  </si>
  <si>
    <t>DB125-2.54-4P-GN-S</t>
  </si>
  <si>
    <t>C918122</t>
  </si>
  <si>
    <t>BRE-001271</t>
  </si>
  <si>
    <t>J2</t>
  </si>
  <si>
    <t>1x2P 8A 130V 2.54mm Screw Terminal Through Hole</t>
  </si>
  <si>
    <t>KF128-2.54-2P</t>
  </si>
  <si>
    <t>C474920</t>
  </si>
  <si>
    <t>BRE-001364</t>
  </si>
  <si>
    <t>J3</t>
  </si>
  <si>
    <t>RJ45 Receptacle Connector, Without LEDs, Unshielded</t>
  </si>
  <si>
    <t>RC02015</t>
  </si>
  <si>
    <t>C708654</t>
  </si>
  <si>
    <t>BRE-001029</t>
  </si>
  <si>
    <t>J4, J5</t>
  </si>
  <si>
    <t>Header Pin Connector 01x05 2.54mm (0.100") Vertical PTH</t>
  </si>
  <si>
    <t>HB-PH3-25415PB2GOP</t>
  </si>
  <si>
    <t>C6332198</t>
  </si>
  <si>
    <t>BRE-001259</t>
  </si>
  <si>
    <t>J6, J8</t>
  </si>
  <si>
    <t>Header Pin 2P 01x02P 2.54mm Pitch Vertical Through Hole 3A</t>
  </si>
  <si>
    <t>PZ254V-11-02P</t>
  </si>
  <si>
    <t>C492401</t>
  </si>
  <si>
    <t>BRE-001332</t>
  </si>
  <si>
    <t>J7, J9</t>
  </si>
  <si>
    <t>Header Pin Connector 01x06 2.54mm (0.100") Vertical PTH</t>
  </si>
  <si>
    <t>PZ2.54-1X6P-H25</t>
  </si>
  <si>
    <t>C42431790</t>
  </si>
  <si>
    <t>Total BOM Cost: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</si>
</sst>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2FFBD"/>
        <bgColor indexed="64"/>
      </patternFill>
    </fill>
    <fill>
      <patternFill patternType="solid">
        <fgColor rgb="FFFCFC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4A4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6" borderId="0" xfId="0" applyFont="1" applyFill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4">
    <dxf>
      <fill>
        <patternFill>
          <bgColor rgb="FFFFB4A4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FFF0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C2FFBD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CFCB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showGridLines="0" tabSelected="1" workbookViewId="0"/>
  </sheetViews>
  <sheetFormatPr defaultRowHeight="15"/>
  <cols>
    <col min="1" max="1" width="21.85546875" bestFit="1" customWidth="1"/>
    <col min="2" max="2" width="30.7109375" customWidth="1"/>
    <col min="3" max="3" width="54.42578125" bestFit="1" customWidth="1"/>
    <col min="4" max="4" width="14.7109375" bestFit="1" customWidth="1"/>
    <col min="5" max="5" width="13.5703125" bestFit="1" customWidth="1"/>
    <col min="6" max="6" width="20.42578125" bestFit="1" customWidth="1"/>
    <col min="7" max="7" width="12.5703125" bestFit="1" customWidth="1"/>
    <col min="8" max="8" width="8.85546875" bestFit="1" customWidth="1"/>
    <col min="9" max="9" width="23" bestFit="1" customWidth="1"/>
    <col min="10" max="10" width="11.5703125" bestFit="1" customWidth="1"/>
    <col min="11" max="11" width="23.5703125" bestFit="1" customWidth="1"/>
    <col min="12" max="12" width="19.140625" bestFit="1" customWidth="1"/>
    <col min="13" max="13" width="18" bestFit="1" customWidth="1"/>
    <col min="14" max="14" width="15" bestFit="1" customWidth="1"/>
    <col min="15" max="15" width="13.85546875" bestFit="1" customWidth="1"/>
  </cols>
  <sheetData>
    <row r="1" spans="1:15">
      <c r="A1" s="1" t="s">
        <v>0</v>
      </c>
      <c r="B1" s="2">
        <v>5</v>
      </c>
      <c r="C1" s="3" t="s">
        <v>1</v>
      </c>
    </row>
    <row r="2" spans="1:15">
      <c r="A2" s="4"/>
      <c r="B2" s="4"/>
    </row>
    <row r="3" spans="1:15">
      <c r="A3" s="3" t="s">
        <v>2</v>
      </c>
      <c r="B3" t="s">
        <v>3</v>
      </c>
      <c r="C3" s="5"/>
    </row>
    <row r="4" spans="1:15">
      <c r="A4" s="3" t="s">
        <v>4</v>
      </c>
      <c r="B4" t="s">
        <v>5</v>
      </c>
      <c r="C4" s="5"/>
    </row>
    <row r="5" spans="1:15">
      <c r="A5" s="3" t="s">
        <v>6</v>
      </c>
      <c r="B5" t="s">
        <v>7</v>
      </c>
      <c r="C5" s="5"/>
    </row>
    <row r="6" spans="1:15">
      <c r="A6" s="6"/>
      <c r="B6" s="6"/>
    </row>
    <row r="7" spans="1:15">
      <c r="A7" s="4"/>
    </row>
    <row r="8" spans="1:15">
      <c r="A8" s="7" t="s">
        <v>8</v>
      </c>
      <c r="B8" s="5"/>
    </row>
    <row r="9" spans="1:15">
      <c r="A9" s="8" t="s">
        <v>9</v>
      </c>
      <c r="B9" s="5"/>
    </row>
    <row r="10" spans="1:15">
      <c r="A10" s="9" t="s">
        <v>10</v>
      </c>
      <c r="B10" s="5"/>
    </row>
    <row r="11" spans="1:15">
      <c r="A11" s="10" t="s">
        <v>11</v>
      </c>
      <c r="B11" s="5"/>
    </row>
    <row r="12" spans="1:15">
      <c r="A12" s="11" t="s">
        <v>12</v>
      </c>
      <c r="B12" s="5"/>
    </row>
    <row r="13" spans="1:15">
      <c r="A13" s="6"/>
    </row>
    <row r="14" spans="1:15">
      <c r="A14" s="12" t="s">
        <v>13</v>
      </c>
      <c r="B14" s="12" t="s">
        <v>14</v>
      </c>
      <c r="C14" s="12" t="s">
        <v>15</v>
      </c>
      <c r="D14" s="12" t="s">
        <v>16</v>
      </c>
      <c r="E14" s="12" t="s">
        <v>17</v>
      </c>
      <c r="F14" s="12" t="s">
        <v>18</v>
      </c>
      <c r="G14" s="12" t="s">
        <v>19</v>
      </c>
      <c r="H14" s="12" t="s">
        <v>20</v>
      </c>
      <c r="I14" s="12" t="s">
        <v>21</v>
      </c>
      <c r="J14" s="12" t="s">
        <v>22</v>
      </c>
      <c r="K14" s="12" t="s">
        <v>23</v>
      </c>
      <c r="L14" s="12" t="s">
        <v>24</v>
      </c>
      <c r="M14" s="12" t="s">
        <v>25</v>
      </c>
      <c r="N14" s="12" t="s">
        <v>26</v>
      </c>
      <c r="O14" s="12" t="s">
        <v>27</v>
      </c>
    </row>
    <row r="15" spans="1:15">
      <c r="A15" t="s">
        <v>30</v>
      </c>
      <c r="B15" t="s">
        <v>31</v>
      </c>
      <c r="C15" t="s">
        <v>32</v>
      </c>
      <c r="D15">
        <v>1</v>
      </c>
      <c r="E15">
        <f>B1*1</f>
        <v>5</v>
      </c>
      <c r="F15" t="s">
        <v>34</v>
      </c>
      <c r="G15" t="s">
        <v>35</v>
      </c>
      <c r="H15">
        <v>920</v>
      </c>
      <c r="I15">
        <v>0</v>
      </c>
      <c r="K15" t="s">
        <v>36</v>
      </c>
      <c r="L15" t="s">
        <v>37</v>
      </c>
      <c r="N15" s="13">
        <v>0.0037</v>
      </c>
      <c r="O15" s="13">
        <f>N15*1</f>
        <v>0.0037</v>
      </c>
    </row>
    <row r="16" spans="1:15">
      <c r="A16" t="s">
        <v>38</v>
      </c>
      <c r="B16" t="s">
        <v>39</v>
      </c>
      <c r="C16" t="s">
        <v>40</v>
      </c>
      <c r="D16">
        <v>1</v>
      </c>
      <c r="E16">
        <f>B1*1</f>
        <v>5</v>
      </c>
      <c r="F16" t="s">
        <v>41</v>
      </c>
      <c r="G16" t="s">
        <v>42</v>
      </c>
      <c r="H16">
        <v>80</v>
      </c>
      <c r="I16">
        <v>945</v>
      </c>
      <c r="N16" s="13">
        <v>0.26</v>
      </c>
      <c r="O16" s="13">
        <f>N16*1</f>
        <v>0.26</v>
      </c>
    </row>
    <row r="17" spans="1:15">
      <c r="A17" t="s">
        <v>43</v>
      </c>
      <c r="B17" t="s">
        <v>44</v>
      </c>
      <c r="C17" t="s">
        <v>45</v>
      </c>
      <c r="D17">
        <v>1</v>
      </c>
      <c r="E17">
        <f>B1*1</f>
        <v>5</v>
      </c>
      <c r="F17" t="s">
        <v>46</v>
      </c>
      <c r="G17" t="s">
        <v>47</v>
      </c>
      <c r="H17">
        <v>95</v>
      </c>
      <c r="I17">
        <v>0</v>
      </c>
      <c r="N17" s="13">
        <v>0.1177</v>
      </c>
      <c r="O17" s="13">
        <f>N17*1</f>
        <v>0.1177</v>
      </c>
    </row>
    <row r="18" spans="1:15">
      <c r="A18" t="s">
        <v>48</v>
      </c>
      <c r="B18" t="s">
        <v>49</v>
      </c>
      <c r="C18" t="s">
        <v>50</v>
      </c>
      <c r="D18">
        <v>1</v>
      </c>
      <c r="E18">
        <f>B1*1</f>
        <v>5</v>
      </c>
      <c r="F18" t="s">
        <v>51</v>
      </c>
      <c r="G18" t="s">
        <v>52</v>
      </c>
      <c r="H18">
        <v>35</v>
      </c>
      <c r="I18">
        <v>0</v>
      </c>
      <c r="N18" s="13">
        <v>0.2019</v>
      </c>
      <c r="O18" s="13">
        <f>N18*1</f>
        <v>0.2019</v>
      </c>
    </row>
    <row r="19" spans="1:15">
      <c r="A19" t="s">
        <v>53</v>
      </c>
      <c r="B19" t="s">
        <v>54</v>
      </c>
      <c r="C19" t="s">
        <v>55</v>
      </c>
      <c r="D19">
        <v>2</v>
      </c>
      <c r="E19">
        <f>B1*2</f>
        <v>10</v>
      </c>
      <c r="F19" t="s">
        <v>56</v>
      </c>
      <c r="G19" t="s">
        <v>57</v>
      </c>
      <c r="H19">
        <v>85</v>
      </c>
      <c r="I19">
        <v>0</v>
      </c>
      <c r="N19" s="13">
        <v>0.013</v>
      </c>
      <c r="O19" s="13">
        <f>N19*2</f>
        <v>0.026</v>
      </c>
    </row>
    <row r="20" spans="1:15">
      <c r="A20" t="s">
        <v>58</v>
      </c>
      <c r="B20" t="s">
        <v>59</v>
      </c>
      <c r="C20" t="s">
        <v>60</v>
      </c>
      <c r="D20">
        <v>2</v>
      </c>
      <c r="E20">
        <f>B1*2</f>
        <v>10</v>
      </c>
      <c r="F20" t="s">
        <v>61</v>
      </c>
      <c r="G20" t="s">
        <v>62</v>
      </c>
      <c r="H20">
        <v>960</v>
      </c>
      <c r="I20">
        <v>0</v>
      </c>
      <c r="N20" s="13">
        <v>0.0069</v>
      </c>
      <c r="O20" s="13">
        <f>N20*2</f>
        <v>0.0138</v>
      </c>
    </row>
    <row r="21" spans="1:15">
      <c r="A21" t="s">
        <v>63</v>
      </c>
      <c r="B21" t="s">
        <v>64</v>
      </c>
      <c r="C21" t="s">
        <v>65</v>
      </c>
      <c r="D21">
        <v>2</v>
      </c>
      <c r="E21">
        <f>B1*2</f>
        <v>10</v>
      </c>
      <c r="F21" t="s">
        <v>66</v>
      </c>
      <c r="G21" t="s">
        <v>67</v>
      </c>
      <c r="H21">
        <v>0</v>
      </c>
      <c r="I21">
        <v>0</v>
      </c>
      <c r="N21" s="13">
        <v>0</v>
      </c>
      <c r="O21" s="13">
        <f>N21*2</f>
        <v>0.0</v>
      </c>
    </row>
    <row r="23" spans="1:15">
      <c r="N23" s="1" t="s">
        <v>68</v>
      </c>
      <c r="O23" s="13">
        <f>SUM(O15:O21</f>
        <v>0.6231</v>
      </c>
    </row>
    <row r="27" spans="1:15">
      <c r="A27" s="3" t="s">
        <v>28</v>
      </c>
      <c r="B27" s="3" t="s">
        <v>29</v>
      </c>
      <c r="C27" s="3" t="s">
        <v>29</v>
      </c>
      <c r="D27" s="3" t="s">
        <v>29</v>
      </c>
      <c r="E27" s="3" t="s">
        <v>29</v>
      </c>
      <c r="F27" s="3" t="s">
        <v>29</v>
      </c>
      <c r="G27" s="3" t="s">
        <v>29</v>
      </c>
      <c r="H27" s="3" t="s">
        <v>29</v>
      </c>
      <c r="I27" s="3" t="s">
        <v>29</v>
      </c>
      <c r="J27" s="3" t="s">
        <v>29</v>
      </c>
      <c r="K27" s="3" t="s">
        <v>29</v>
      </c>
      <c r="L27" s="3" t="s">
        <v>29</v>
      </c>
      <c r="M27" s="3" t="s">
        <v>29</v>
      </c>
      <c r="N27" s="3" t="s">
        <v>29</v>
      </c>
      <c r="O27" s="3" t="s">
        <v>29</v>
      </c>
    </row>
    <row r="28" spans="1:15">
      <c r="A28" s="12" t="s">
        <v>13</v>
      </c>
      <c r="B28" s="12" t="s">
        <v>14</v>
      </c>
      <c r="C28" s="12" t="s">
        <v>15</v>
      </c>
      <c r="D28" s="12" t="s">
        <v>16</v>
      </c>
      <c r="E28" s="12" t="s">
        <v>17</v>
      </c>
      <c r="F28" s="12" t="s">
        <v>18</v>
      </c>
      <c r="G28" s="12" t="s">
        <v>19</v>
      </c>
      <c r="H28" s="12" t="s">
        <v>20</v>
      </c>
      <c r="I28" s="12" t="s">
        <v>21</v>
      </c>
      <c r="J28" s="12" t="s">
        <v>22</v>
      </c>
      <c r="K28" s="12" t="s">
        <v>23</v>
      </c>
      <c r="L28" s="12" t="s">
        <v>24</v>
      </c>
      <c r="M28" s="12" t="s">
        <v>25</v>
      </c>
      <c r="N28" s="12" t="s">
        <v>26</v>
      </c>
      <c r="O28" s="12" t="s">
        <v>27</v>
      </c>
    </row>
  </sheetData>
  <conditionalFormatting sqref="A15:O15">
    <cfRule type="expression" dxfId="0" priority="1">
      <formula>OR(ISBLANK($G15), $G15="")</formula>
    </cfRule>
    <cfRule type="expression" dxfId="1" priority="2">
      <formula>MAX($H15, $I15)&lt;$E15</formula>
    </cfRule>
    <cfRule type="expression" dxfId="2" priority="3">
      <formula>AND(MAX($H15, $I15)&gt;=$E15, $E15/($H15 + $I15)&lt;0.1)</formula>
    </cfRule>
    <cfRule type="expression" dxfId="3" priority="4">
      <formula>AND(MAX($H15, $I15)&gt;=$E15, $E15/($H15 + $I15)&gt;=0.1)</formula>
    </cfRule>
  </conditionalFormatting>
  <conditionalFormatting sqref="A16:O16">
    <cfRule type="expression" dxfId="0" priority="5">
      <formula>OR(ISBLANK($G16), $G16="")</formula>
    </cfRule>
    <cfRule type="expression" dxfId="1" priority="6">
      <formula>MAX($H16, $I16)&lt;$E16</formula>
    </cfRule>
    <cfRule type="expression" dxfId="2" priority="7">
      <formula>AND(MAX($H16, $I16)&gt;=$E16, $E16/($H16 + $I16)&lt;0.1)</formula>
    </cfRule>
    <cfRule type="expression" dxfId="3" priority="8">
      <formula>AND(MAX($H16, $I16)&gt;=$E16, $E16/($H16 + $I16)&gt;=0.1)</formula>
    </cfRule>
  </conditionalFormatting>
  <conditionalFormatting sqref="A17:O17">
    <cfRule type="expression" dxfId="0" priority="9">
      <formula>OR(ISBLANK($G17), $G17="")</formula>
    </cfRule>
    <cfRule type="expression" dxfId="1" priority="10">
      <formula>MAX($H17, $I17)&lt;$E17</formula>
    </cfRule>
    <cfRule type="expression" dxfId="2" priority="11">
      <formula>AND(MAX($H17, $I17)&gt;=$E17, $E17/($H17 + $I17)&lt;0.1)</formula>
    </cfRule>
    <cfRule type="expression" dxfId="3" priority="12">
      <formula>AND(MAX($H17, $I17)&gt;=$E17, $E17/($H17 + $I17)&gt;=0.1)</formula>
    </cfRule>
  </conditionalFormatting>
  <conditionalFormatting sqref="A18:O18">
    <cfRule type="expression" dxfId="0" priority="13">
      <formula>OR(ISBLANK($G18), $G18="")</formula>
    </cfRule>
    <cfRule type="expression" dxfId="1" priority="14">
      <formula>MAX($H18, $I18)&lt;$E18</formula>
    </cfRule>
    <cfRule type="expression" dxfId="2" priority="15">
      <formula>AND(MAX($H18, $I18)&gt;=$E18, $E18/($H18 + $I18)&lt;0.1)</formula>
    </cfRule>
    <cfRule type="expression" dxfId="3" priority="16">
      <formula>AND(MAX($H18, $I18)&gt;=$E18, $E18/($H18 + $I18)&gt;=0.1)</formula>
    </cfRule>
  </conditionalFormatting>
  <conditionalFormatting sqref="A19:O19">
    <cfRule type="expression" dxfId="0" priority="17">
      <formula>OR(ISBLANK($G19), $G19="")</formula>
    </cfRule>
    <cfRule type="expression" dxfId="1" priority="18">
      <formula>MAX($H19, $I19)&lt;$E19</formula>
    </cfRule>
    <cfRule type="expression" dxfId="2" priority="19">
      <formula>AND(MAX($H19, $I19)&gt;=$E19, $E19/($H19 + $I19)&lt;0.1)</formula>
    </cfRule>
    <cfRule type="expression" dxfId="3" priority="20">
      <formula>AND(MAX($H19, $I19)&gt;=$E19, $E19/($H19 + $I19)&gt;=0.1)</formula>
    </cfRule>
  </conditionalFormatting>
  <conditionalFormatting sqref="A20:O20">
    <cfRule type="expression" dxfId="0" priority="21">
      <formula>OR(ISBLANK($G20), $G20="")</formula>
    </cfRule>
    <cfRule type="expression" dxfId="1" priority="22">
      <formula>MAX($H20, $I20)&lt;$E20</formula>
    </cfRule>
    <cfRule type="expression" dxfId="2" priority="23">
      <formula>AND(MAX($H20, $I20)&gt;=$E20, $E20/($H20 + $I20)&lt;0.1)</formula>
    </cfRule>
    <cfRule type="expression" dxfId="3" priority="24">
      <formula>AND(MAX($H20, $I20)&gt;=$E20, $E20/($H20 + $I20)&gt;=0.1)</formula>
    </cfRule>
  </conditionalFormatting>
  <conditionalFormatting sqref="A21:O21">
    <cfRule type="expression" dxfId="0" priority="25">
      <formula>OR(ISBLANK($G21), $G21="")</formula>
    </cfRule>
    <cfRule type="expression" dxfId="1" priority="26">
      <formula>MAX($H21, $I21)&lt;$E21</formula>
    </cfRule>
    <cfRule type="expression" dxfId="2" priority="27">
      <formula>AND(MAX($H21, $I21)&gt;=$E21, $E21/($H21 + $I21)&lt;0.1)</formula>
    </cfRule>
    <cfRule type="expression" dxfId="3" priority="28">
      <formula>AND(MAX($H21, $I21)&gt;=$E21, $E21/($H21 + $I21)&gt;=0.1)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2026-02-19T01:36:08Z</dcterms:created>
  <dcterms:modified xsi:type="dcterms:W3CDTF">2026-02-19T01:36:08Z</dcterms:modified>
</cp:coreProperties>
</file>